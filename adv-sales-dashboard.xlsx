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C:\Users\CSH\Documents\Tejashree\"/>
    </mc:Choice>
  </mc:AlternateContent>
  <xr:revisionPtr revIDLastSave="0" documentId="8_{8AD6B365-A121-468B-9F7F-3D1DE14DF12B}" xr6:coauthVersionLast="47" xr6:coauthVersionMax="47" xr10:uidLastSave="{00000000-0000-0000-0000-000000000000}"/>
  <bookViews>
    <workbookView xWindow="-110" yWindow="-110" windowWidth="19420" windowHeight="10300" activeTab="1" xr2:uid="{22FC28F3-77F5-416E-B2BC-A17D9324BF6C}"/>
  </bookViews>
  <sheets>
    <sheet name="Sheet4" sheetId="4" r:id="rId1"/>
    <sheet name="Dashboard" sheetId="1" r:id="rId2"/>
    <sheet name="Sheet5" sheetId="5" r:id="rId3"/>
  </sheets>
  <definedNames>
    <definedName name="Slicer_Month">#N/A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1" l="1"/>
  <c r="H8" i="1" s="1"/>
  <c r="G12" i="1"/>
  <c r="H12" i="1" s="1"/>
  <c r="F14" i="1"/>
  <c r="G14" i="1" s="1"/>
  <c r="H14" i="1" s="1"/>
  <c r="F4" i="1"/>
  <c r="G4" i="1" s="1"/>
  <c r="H4" i="1" s="1"/>
  <c r="F5" i="1"/>
  <c r="G5" i="1" s="1"/>
  <c r="H5" i="1" s="1"/>
  <c r="F6" i="1"/>
  <c r="G6" i="1" s="1"/>
  <c r="H6" i="1" s="1"/>
  <c r="F7" i="1"/>
  <c r="G7" i="1" s="1"/>
  <c r="H7" i="1" s="1"/>
  <c r="F8" i="1"/>
  <c r="F9" i="1"/>
  <c r="G9" i="1" s="1"/>
  <c r="H9" i="1" s="1"/>
  <c r="F10" i="1"/>
  <c r="G10" i="1" s="1"/>
  <c r="H10" i="1" s="1"/>
  <c r="F11" i="1"/>
  <c r="G11" i="1" s="1"/>
  <c r="H11" i="1" s="1"/>
  <c r="F12" i="1"/>
  <c r="F13" i="1"/>
  <c r="G13" i="1" s="1"/>
  <c r="H13" i="1" s="1"/>
  <c r="F3" i="1"/>
  <c r="G3" i="1" s="1"/>
  <c r="H3" i="1" s="1"/>
</calcChain>
</file>

<file path=xl/sharedStrings.xml><?xml version="1.0" encoding="utf-8"?>
<sst xmlns="http://schemas.openxmlformats.org/spreadsheetml/2006/main" count="39" uniqueCount="27">
  <si>
    <t>Month</t>
  </si>
  <si>
    <t>Product A Sales</t>
  </si>
  <si>
    <t>Product B Sales</t>
  </si>
  <si>
    <t>Product C Sales</t>
  </si>
  <si>
    <t>Product D Sales</t>
  </si>
  <si>
    <t>Total Sales</t>
  </si>
  <si>
    <t>Jan</t>
  </si>
  <si>
    <t>Feb</t>
  </si>
  <si>
    <t>Mar</t>
  </si>
  <si>
    <t>Apr</t>
  </si>
  <si>
    <t>May</t>
  </si>
  <si>
    <t>Jun</t>
  </si>
  <si>
    <t>Jul</t>
  </si>
  <si>
    <t>Aug</t>
  </si>
  <si>
    <t>Sep</t>
  </si>
  <si>
    <t>Oct</t>
  </si>
  <si>
    <t>Nov</t>
  </si>
  <si>
    <t>Dec</t>
  </si>
  <si>
    <t>Advanced Monthly Sales Dashboard</t>
  </si>
  <si>
    <t>Profit Amount</t>
  </si>
  <si>
    <t>Profit%</t>
  </si>
  <si>
    <t>Row Labels</t>
  </si>
  <si>
    <t>Grand Total</t>
  </si>
  <si>
    <t>Sum of Product A Sales</t>
  </si>
  <si>
    <t>Sum of Product B Sales</t>
  </si>
  <si>
    <t>Sum of Product C Sales</t>
  </si>
  <si>
    <t>Sum of Product D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</si>
</sst>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sz val="11"/>
      <color theme="1"/>
      <name val="Aptos Narrow"/>
      <family val="2"/>
      <scheme val="minor"/>
    </font>
    <font>
      <b/>
      <sz val="11"/>
      <color theme="1"/>
      <name val="Aptos Narrow"/>
      <family val="2"/>
      <scheme val="minor"/>
    </font>
    <font>
      <b/>
      <sz val="28"/>
      <color theme="1"/>
      <name val="Aptos Narrow"/>
      <family val="2"/>
      <scheme val="minor"/>
    </font>
    <font>
      <b/>
      <sz val="18"/>
      <color theme="1"/>
      <name val="Aptos Narrow"/>
      <family val="2"/>
      <scheme val="minor"/>
    </font>
    <font>
      <b/>
      <sz val="12"/>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9" fontId="0" fillId="0" borderId="0" xfId="1" applyFont="1"/>
    <xf numFmtId="0" fontId="6" fillId="3" borderId="1" xfId="0" applyFont="1" applyFill="1" applyBorder="1"/>
    <xf numFmtId="9" fontId="6" fillId="3" borderId="1" xfId="1" applyFont="1" applyFill="1" applyBorder="1"/>
    <xf numFmtId="0" fontId="3" fillId="4" borderId="0" xfId="0" applyFont="1" applyFill="1"/>
    <xf numFmtId="0" fontId="3" fillId="5" borderId="0" xfId="0" applyFont="1" applyFill="1" applyAlignment="1">
      <alignment horizontal="left"/>
    </xf>
    <xf numFmtId="0" fontId="3" fillId="5" borderId="0" xfId="0" applyFont="1" applyFill="1"/>
    <xf numFmtId="0" fontId="3" fillId="0" borderId="0" xfId="0" applyFont="1" applyAlignment="1">
      <alignment horizontal="left"/>
    </xf>
    <xf numFmtId="0" fontId="3" fillId="0" borderId="0" xfId="0" applyFont="1"/>
    <xf numFmtId="0" fontId="4" fillId="2" borderId="1" xfId="0" applyFont="1" applyFill="1" applyBorder="1" applyAlignment="1">
      <alignment horizontal="center" vertical="center"/>
    </xf>
    <xf numFmtId="0" fontId="5" fillId="2" borderId="1" xfId="0" applyFont="1" applyFill="1" applyBorder="1" applyAlignment="1">
      <alignment horizontal="center" vertical="center"/>
    </xf>
  </cellXfs>
  <cellStyles count="2">
    <cellStyle name="Normal" xfId="0" builtinId="0"/>
    <cellStyle name="Percent" xfId="1" builtinId="5"/>
  </cellStyles>
  <dxfs count="9">
    <dxf>
      <font>
        <b/>
      </font>
    </dxf>
    <dxf>
      <font>
        <b/>
      </font>
    </dxf>
    <dxf>
      <font>
        <b/>
      </font>
    </dxf>
    <dxf>
      <font>
        <b/>
      </font>
    </dxf>
    <dxf>
      <font>
        <b/>
      </font>
    </dxf>
    <dxf>
      <font>
        <b/>
      </font>
    </dxf>
    <dxf>
      <fill>
        <patternFill patternType="solid">
          <bgColor theme="9" tint="0.79998168889431442"/>
        </patternFill>
      </fill>
    </dxf>
    <dxf>
      <fill>
        <patternFill patternType="solid">
          <bgColor theme="5" tint="0.79998168889431442"/>
        </patternFill>
      </fill>
    </dxf>
    <dxf>
      <fill>
        <patternFill patternType="solid">
          <bgColor theme="5"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[adv-sales-dashboard.xlsx]Sheet4!PivotTable2</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0000"/>
          </a:soli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FFFF00"/>
          </a:solidFill>
          <a:ln w="9525" cap="flat" cmpd="sng" algn="ctr">
            <a:solidFill>
              <a:schemeClr val="accent5">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876987074728857E-2"/>
          <c:y val="0.15706423251527146"/>
          <c:w val="0.6212347348090923"/>
          <c:h val="0.68788137049039244"/>
        </c:manualLayout>
      </c:layout>
      <c:barChart>
        <c:barDir val="col"/>
        <c:grouping val="clustered"/>
        <c:varyColors val="0"/>
        <c:ser>
          <c:idx val="0"/>
          <c:order val="0"/>
          <c:tx>
            <c:strRef>
              <c:f>Sheet4!$B$3</c:f>
              <c:strCache>
                <c:ptCount val="1"/>
                <c:pt idx="0">
                  <c:v>Sum of Product A Sales</c:v>
                </c:pt>
              </c:strCache>
            </c:strRef>
          </c:tx>
          <c:spPr>
            <a:solidFill>
              <a:srgbClr val="FF0000"/>
            </a:solidFill>
            <a:ln w="9525" cap="flat" cmpd="sng" algn="ctr">
              <a:solidFill>
                <a:schemeClr val="accent5">
                  <a:tint val="58000"/>
                  <a:shade val="95000"/>
                </a:schemeClr>
              </a:solidFill>
              <a:round/>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Sheet4!$B$4:$B$16</c:f>
              <c:numCache>
                <c:formatCode>General</c:formatCode>
                <c:ptCount val="12"/>
                <c:pt idx="0">
                  <c:v>5000</c:v>
                </c:pt>
                <c:pt idx="1">
                  <c:v>6000</c:v>
                </c:pt>
                <c:pt idx="2">
                  <c:v>5500</c:v>
                </c:pt>
                <c:pt idx="3">
                  <c:v>5800</c:v>
                </c:pt>
                <c:pt idx="4">
                  <c:v>6200</c:v>
                </c:pt>
                <c:pt idx="5">
                  <c:v>6500</c:v>
                </c:pt>
                <c:pt idx="6">
                  <c:v>4900</c:v>
                </c:pt>
                <c:pt idx="7">
                  <c:v>7000</c:v>
                </c:pt>
                <c:pt idx="8">
                  <c:v>6700</c:v>
                </c:pt>
                <c:pt idx="9">
                  <c:v>5300</c:v>
                </c:pt>
                <c:pt idx="10">
                  <c:v>8000</c:v>
                </c:pt>
                <c:pt idx="11">
                  <c:v>7700</c:v>
                </c:pt>
              </c:numCache>
            </c:numRef>
          </c:val>
          <c:extLst>
            <c:ext xmlns:c16="http://schemas.microsoft.com/office/drawing/2014/chart" uri="{C3380CC4-5D6E-409C-BE32-E72D297353CC}">
              <c16:uniqueId val="{00000000-FEC7-4A89-8345-8E40D6DBD8ED}"/>
            </c:ext>
          </c:extLst>
        </c:ser>
        <c:ser>
          <c:idx val="1"/>
          <c:order val="1"/>
          <c:tx>
            <c:strRef>
              <c:f>Sheet4!$C$3</c:f>
              <c:strCache>
                <c:ptCount val="1"/>
                <c:pt idx="0">
                  <c:v>Sum of Product B Sales</c:v>
                </c:pt>
              </c:strCache>
            </c:strRef>
          </c:tx>
          <c:spPr>
            <a:solidFill>
              <a:schemeClr val="accent1">
                <a:lumMod val="40000"/>
                <a:lumOff val="60000"/>
              </a:schemeClr>
            </a:solidFill>
            <a:ln w="9525" cap="flat" cmpd="sng" algn="ctr">
              <a:solidFill>
                <a:schemeClr val="accent5">
                  <a:tint val="86000"/>
                  <a:shade val="95000"/>
                </a:schemeClr>
              </a:solidFill>
              <a:round/>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Sheet4!$C$4:$C$16</c:f>
              <c:numCache>
                <c:formatCode>General</c:formatCode>
                <c:ptCount val="12"/>
                <c:pt idx="0">
                  <c:v>7000</c:v>
                </c:pt>
                <c:pt idx="1">
                  <c:v>6500</c:v>
                </c:pt>
                <c:pt idx="2">
                  <c:v>7200</c:v>
                </c:pt>
                <c:pt idx="3">
                  <c:v>6800</c:v>
                </c:pt>
                <c:pt idx="4">
                  <c:v>7300</c:v>
                </c:pt>
                <c:pt idx="5">
                  <c:v>7000</c:v>
                </c:pt>
                <c:pt idx="6">
                  <c:v>8200</c:v>
                </c:pt>
                <c:pt idx="7">
                  <c:v>6400</c:v>
                </c:pt>
                <c:pt idx="8">
                  <c:v>8500</c:v>
                </c:pt>
                <c:pt idx="9">
                  <c:v>9200</c:v>
                </c:pt>
                <c:pt idx="10">
                  <c:v>8800</c:v>
                </c:pt>
                <c:pt idx="11">
                  <c:v>7500</c:v>
                </c:pt>
              </c:numCache>
            </c:numRef>
          </c:val>
          <c:extLst>
            <c:ext xmlns:c16="http://schemas.microsoft.com/office/drawing/2014/chart" uri="{C3380CC4-5D6E-409C-BE32-E72D297353CC}">
              <c16:uniqueId val="{00000001-FEC7-4A89-8345-8E40D6DBD8ED}"/>
            </c:ext>
          </c:extLst>
        </c:ser>
        <c:ser>
          <c:idx val="2"/>
          <c:order val="2"/>
          <c:tx>
            <c:strRef>
              <c:f>Sheet4!$D$3</c:f>
              <c:strCache>
                <c:ptCount val="1"/>
                <c:pt idx="0">
                  <c:v>Sum of Product C Sales</c:v>
                </c:pt>
              </c:strCache>
            </c:strRef>
          </c:tx>
          <c:spPr>
            <a:solidFill>
              <a:schemeClr val="accent3">
                <a:lumMod val="60000"/>
                <a:lumOff val="40000"/>
              </a:schemeClr>
            </a:solidFill>
            <a:ln w="9525" cap="flat" cmpd="sng" algn="ctr">
              <a:solidFill>
                <a:schemeClr val="accent5">
                  <a:shade val="86000"/>
                  <a:shade val="95000"/>
                </a:schemeClr>
              </a:solidFill>
              <a:round/>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Sheet4!$D$4:$D$16</c:f>
              <c:numCache>
                <c:formatCode>General</c:formatCode>
                <c:ptCount val="12"/>
                <c:pt idx="0">
                  <c:v>3000</c:v>
                </c:pt>
                <c:pt idx="1">
                  <c:v>3500</c:v>
                </c:pt>
                <c:pt idx="2">
                  <c:v>3200</c:v>
                </c:pt>
                <c:pt idx="3">
                  <c:v>3100</c:v>
                </c:pt>
                <c:pt idx="4">
                  <c:v>3600</c:v>
                </c:pt>
                <c:pt idx="5">
                  <c:v>3400</c:v>
                </c:pt>
                <c:pt idx="6">
                  <c:v>3500</c:v>
                </c:pt>
                <c:pt idx="7">
                  <c:v>3300</c:v>
                </c:pt>
                <c:pt idx="8">
                  <c:v>3700</c:v>
                </c:pt>
                <c:pt idx="9">
                  <c:v>3500</c:v>
                </c:pt>
                <c:pt idx="10">
                  <c:v>3800</c:v>
                </c:pt>
                <c:pt idx="11">
                  <c:v>3700</c:v>
                </c:pt>
              </c:numCache>
            </c:numRef>
          </c:val>
          <c:extLst>
            <c:ext xmlns:c16="http://schemas.microsoft.com/office/drawing/2014/chart" uri="{C3380CC4-5D6E-409C-BE32-E72D297353CC}">
              <c16:uniqueId val="{00000002-FEC7-4A89-8345-8E40D6DBD8ED}"/>
            </c:ext>
          </c:extLst>
        </c:ser>
        <c:ser>
          <c:idx val="3"/>
          <c:order val="3"/>
          <c:tx>
            <c:strRef>
              <c:f>Sheet4!$E$3</c:f>
              <c:strCache>
                <c:ptCount val="1"/>
                <c:pt idx="0">
                  <c:v>Sum of Product D Sales</c:v>
                </c:pt>
              </c:strCache>
            </c:strRef>
          </c:tx>
          <c:spPr>
            <a:solidFill>
              <a:srgbClr val="FFFF00"/>
            </a:solidFill>
            <a:ln w="9525" cap="flat" cmpd="sng" algn="ctr">
              <a:solidFill>
                <a:schemeClr val="accent5">
                  <a:shade val="58000"/>
                  <a:shade val="95000"/>
                </a:schemeClr>
              </a:solidFill>
              <a:round/>
            </a:ln>
            <a:effectLst/>
          </c:spPr>
          <c:invertIfNegative val="0"/>
          <c:cat>
            <c:strRef>
              <c:f>Sheet4!$A$4:$A$16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Sheet4!$E$4:$E$16</c:f>
              <c:numCache>
                <c:formatCode>General</c:formatCode>
                <c:ptCount val="12"/>
                <c:pt idx="0">
                  <c:v>4000</c:v>
                </c:pt>
                <c:pt idx="1">
                  <c:v>4500</c:v>
                </c:pt>
                <c:pt idx="2">
                  <c:v>4700</c:v>
                </c:pt>
                <c:pt idx="3">
                  <c:v>4600</c:v>
                </c:pt>
                <c:pt idx="4">
                  <c:v>4800</c:v>
                </c:pt>
                <c:pt idx="5">
                  <c:v>5000</c:v>
                </c:pt>
                <c:pt idx="6">
                  <c:v>4200</c:v>
                </c:pt>
                <c:pt idx="7">
                  <c:v>4400</c:v>
                </c:pt>
                <c:pt idx="8">
                  <c:v>4100</c:v>
                </c:pt>
                <c:pt idx="9">
                  <c:v>4300</c:v>
                </c:pt>
                <c:pt idx="10">
                  <c:v>4900</c:v>
                </c:pt>
                <c:pt idx="11">
                  <c:v>4600</c:v>
                </c:pt>
              </c:numCache>
            </c:numRef>
          </c:val>
          <c:extLst>
            <c:ext xmlns:c16="http://schemas.microsoft.com/office/drawing/2014/chart" uri="{C3380CC4-5D6E-409C-BE32-E72D297353CC}">
              <c16:uniqueId val="{00000003-FEC7-4A89-8345-8E40D6DBD8ED}"/>
            </c:ext>
          </c:extLst>
        </c:ser>
        <c:dLbls>
          <c:showLegendKey val="0"/>
          <c:showVal val="0"/>
          <c:showCatName val="0"/>
          <c:showSerName val="0"/>
          <c:showPercent val="0"/>
          <c:showBubbleSize val="0"/>
        </c:dLbls>
        <c:gapWidth val="100"/>
        <c:overlap val="-24"/>
        <c:axId val="1648004176"/>
        <c:axId val="1648006096"/>
      </c:barChart>
      <c:catAx>
        <c:axId val="1648004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48006096"/>
        <c:crosses val="autoZero"/>
        <c:auto val="1"/>
        <c:lblAlgn val="ctr"/>
        <c:lblOffset val="100"/>
        <c:noMultiLvlLbl val="0"/>
      </c:catAx>
      <c:valAx>
        <c:axId val="16480060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648004176"/>
        <c:crosses val="autoZero"/>
        <c:crossBetween val="between"/>
      </c:valAx>
      <c:spPr>
        <a:noFill/>
        <a:ln>
          <a:solidFill>
            <a:schemeClr val="tx1"/>
          </a:solidFill>
        </a:ln>
        <a:effectLst/>
      </c:spPr>
    </c:plotArea>
    <c:legend>
      <c:legendPos val="r"/>
      <c:legendEntry>
        <c:idx val="1"/>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Entry>
      <c:layout>
        <c:manualLayout>
          <c:xMode val="edge"/>
          <c:yMode val="edge"/>
          <c:x val="0.71742519685039374"/>
          <c:y val="0.32624849686697877"/>
          <c:w val="0.27031600059426536"/>
          <c:h val="0.34750300626604247"/>
        </c:manualLayout>
      </c:layout>
      <c:overlay val="0"/>
      <c:spPr>
        <a:noFill/>
        <a:ln>
          <a:solidFill>
            <a:schemeClr val="tx1"/>
          </a:solid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310444</xdr:colOff>
      <xdr:row>3</xdr:row>
      <xdr:rowOff>134056</xdr:rowOff>
    </xdr:from>
    <xdr:to>
      <xdr:col>11</xdr:col>
      <xdr:colOff>366888</xdr:colOff>
      <xdr:row>19</xdr:row>
      <xdr:rowOff>13405</xdr:rowOff>
    </xdr:to>
    <xdr:graphicFrame macro="">
      <xdr:nvGraphicFramePr>
        <xdr:cNvPr id="8" name="Chart 7">
          <a:extLst>
            <a:ext uri="{FF2B5EF4-FFF2-40B4-BE49-F238E27FC236}">
              <a16:creationId xmlns:a16="http://schemas.microsoft.com/office/drawing/2014/main" id="{785CC831-0594-40F1-ADDE-284D9C8C8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436033</xdr:colOff>
      <xdr:row>0</xdr:row>
      <xdr:rowOff>76200</xdr:rowOff>
    </xdr:from>
    <xdr:to>
      <xdr:col>14</xdr:col>
      <xdr:colOff>436033</xdr:colOff>
      <xdr:row>20</xdr:row>
      <xdr:rowOff>151694</xdr:rowOff>
    </xdr:to>
    <mc:AlternateContent xmlns:mc="http://schemas.openxmlformats.org/markup-compatibility/2006" xmlns:a14="http://schemas.microsoft.com/office/drawing/2010/main">
      <mc:Choice Requires="a14">
        <xdr:graphicFrame macro="">
          <xdr:nvGraphicFramePr>
            <xdr:cNvPr id="10" name="Month 1">
              <a:extLst>
                <a:ext uri="{FF2B5EF4-FFF2-40B4-BE49-F238E27FC236}">
                  <a16:creationId xmlns:a16="http://schemas.microsoft.com/office/drawing/2014/main" id="{AED7714F-120B-4881-B545-648D2E245E7F}"/>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7110589" y="76200"/>
              <a:ext cx="1820333" cy="374438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324556</xdr:colOff>
      <xdr:row>0</xdr:row>
      <xdr:rowOff>119944</xdr:rowOff>
    </xdr:from>
    <xdr:to>
      <xdr:col>11</xdr:col>
      <xdr:colOff>381000</xdr:colOff>
      <xdr:row>3</xdr:row>
      <xdr:rowOff>77610</xdr:rowOff>
    </xdr:to>
    <xdr:sp macro="" textlink="">
      <xdr:nvSpPr>
        <xdr:cNvPr id="2" name="TextBox 1">
          <a:extLst>
            <a:ext uri="{FF2B5EF4-FFF2-40B4-BE49-F238E27FC236}">
              <a16:creationId xmlns:a16="http://schemas.microsoft.com/office/drawing/2014/main" id="{FA41FDFB-CD88-80D1-6AD8-A8F90BEA4500}"/>
            </a:ext>
          </a:extLst>
        </xdr:cNvPr>
        <xdr:cNvSpPr txBox="1"/>
      </xdr:nvSpPr>
      <xdr:spPr>
        <a:xfrm>
          <a:off x="324556" y="119944"/>
          <a:ext cx="6731000" cy="507999"/>
        </a:xfrm>
        <a:prstGeom prst="rect">
          <a:avLst/>
        </a:prstGeom>
        <a:solidFill>
          <a:schemeClr val="accent5">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a:t>Advanced Yearly</a:t>
          </a:r>
          <a:r>
            <a:rPr lang="en-US" sz="3200" baseline="0"/>
            <a:t> Sales Dashboard</a:t>
          </a:r>
          <a:endParaRPr lang="en-US" sz="3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0.43208</cdr:x>
      <cdr:y>0.33996</cdr:y>
    </cdr:from>
    <cdr:to>
      <cdr:x>0.56792</cdr:x>
      <cdr:y>0.66004</cdr:y>
    </cdr:to>
    <cdr:sp macro="" textlink="">
      <cdr:nvSpPr>
        <cdr:cNvPr id="2" name="TextBox 1">
          <a:extLst xmlns:a="http://schemas.openxmlformats.org/drawingml/2006/main">
            <a:ext uri="{FF2B5EF4-FFF2-40B4-BE49-F238E27FC236}">
              <a16:creationId xmlns:a16="http://schemas.microsoft.com/office/drawing/2014/main" id="{D2E9B14C-99F9-84CB-DF4E-CE4F818DECE3}"/>
            </a:ext>
          </a:extLst>
        </cdr:cNvPr>
        <cdr:cNvSpPr txBox="1"/>
      </cdr:nvSpPr>
      <cdr:spPr>
        <a:xfrm xmlns:a="http://schemas.openxmlformats.org/drawingml/2006/main">
          <a:off x="2908300" y="971196"/>
          <a:ext cx="914400" cy="9144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US"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SH" refreshedDate="46120.564944328704" createdVersion="8" refreshedVersion="8" minRefreshableVersion="3" recordCount="12" xr:uid="{5D60D2A3-D1CE-4360-8CB7-45959C34F0A8}">
  <cacheSource type="worksheet">
    <worksheetSource ref="A2:H14" sheet="Dashboard"/>
  </cacheSource>
  <cacheFields count="8">
    <cacheField name="Month" numFmtId="0">
      <sharedItems count="12">
        <s v="Jan"/>
        <s v="Feb"/>
        <s v="Mar"/>
        <s v="Apr"/>
        <s v="May"/>
        <s v="Jun"/>
        <s v="Jul"/>
        <s v="Aug"/>
        <s v="Sep"/>
        <s v="Oct"/>
        <s v="Nov"/>
        <s v="Dec"/>
      </sharedItems>
    </cacheField>
    <cacheField name="Product A Sales" numFmtId="0">
      <sharedItems containsSemiMixedTypes="0" containsString="0" containsNumber="1" containsInteger="1" minValue="4900" maxValue="8000"/>
    </cacheField>
    <cacheField name="Product B Sales" numFmtId="0">
      <sharedItems containsSemiMixedTypes="0" containsString="0" containsNumber="1" containsInteger="1" minValue="6400" maxValue="9200"/>
    </cacheField>
    <cacheField name="Product C Sales" numFmtId="0">
      <sharedItems containsSemiMixedTypes="0" containsString="0" containsNumber="1" containsInteger="1" minValue="3000" maxValue="3800"/>
    </cacheField>
    <cacheField name="Product D Sales" numFmtId="0">
      <sharedItems containsSemiMixedTypes="0" containsString="0" containsNumber="1" containsInteger="1" minValue="4000" maxValue="5000"/>
    </cacheField>
    <cacheField name="Total Sales" numFmtId="0">
      <sharedItems containsSemiMixedTypes="0" containsString="0" containsNumber="1" containsInteger="1" minValue="19000" maxValue="25500"/>
    </cacheField>
    <cacheField name="Profit Amount" numFmtId="0">
      <sharedItems containsSemiMixedTypes="0" containsString="0" containsNumber="1" containsInteger="1" minValue="3800" maxValue="5100"/>
    </cacheField>
    <cacheField name="Profit%" numFmtId="9">
      <sharedItems containsSemiMixedTypes="0" containsString="0" containsNumber="1" minValue="0.2" maxValue="0.2"/>
    </cacheField>
  </cacheFields>
  <extLst>
    <ext xmlns:x14="http://schemas.microsoft.com/office/spreadsheetml/2009/9/main" uri="{725AE2AE-9491-48be-B2B4-4EB974FC3084}">
      <x14:pivotCacheDefinition pivotCacheId="3539956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5000"/>
    <n v="7000"/>
    <n v="3000"/>
    <n v="4000"/>
    <n v="19000"/>
    <n v="3800"/>
    <n v="0.2"/>
  </r>
  <r>
    <x v="1"/>
    <n v="6000"/>
    <n v="6500"/>
    <n v="3500"/>
    <n v="4500"/>
    <n v="20500"/>
    <n v="4100"/>
    <n v="0.2"/>
  </r>
  <r>
    <x v="2"/>
    <n v="5500"/>
    <n v="7200"/>
    <n v="3200"/>
    <n v="4700"/>
    <n v="20600"/>
    <n v="4120"/>
    <n v="0.2"/>
  </r>
  <r>
    <x v="3"/>
    <n v="5800"/>
    <n v="6800"/>
    <n v="3100"/>
    <n v="4600"/>
    <n v="20300"/>
    <n v="4060"/>
    <n v="0.2"/>
  </r>
  <r>
    <x v="4"/>
    <n v="6200"/>
    <n v="7300"/>
    <n v="3600"/>
    <n v="4800"/>
    <n v="21900"/>
    <n v="4380"/>
    <n v="0.2"/>
  </r>
  <r>
    <x v="5"/>
    <n v="6500"/>
    <n v="7000"/>
    <n v="3400"/>
    <n v="5000"/>
    <n v="21900"/>
    <n v="4380"/>
    <n v="0.2"/>
  </r>
  <r>
    <x v="6"/>
    <n v="4900"/>
    <n v="8200"/>
    <n v="3500"/>
    <n v="4200"/>
    <n v="20800"/>
    <n v="4160"/>
    <n v="0.2"/>
  </r>
  <r>
    <x v="7"/>
    <n v="7000"/>
    <n v="6400"/>
    <n v="3300"/>
    <n v="4400"/>
    <n v="21100"/>
    <n v="4220"/>
    <n v="0.2"/>
  </r>
  <r>
    <x v="8"/>
    <n v="6700"/>
    <n v="8500"/>
    <n v="3700"/>
    <n v="4100"/>
    <n v="23000"/>
    <n v="4600"/>
    <n v="0.2"/>
  </r>
  <r>
    <x v="9"/>
    <n v="5300"/>
    <n v="9200"/>
    <n v="3500"/>
    <n v="4300"/>
    <n v="22300"/>
    <n v="4460"/>
    <n v="0.2"/>
  </r>
  <r>
    <x v="10"/>
    <n v="8000"/>
    <n v="8800"/>
    <n v="3800"/>
    <n v="4900"/>
    <n v="25500"/>
    <n v="5100"/>
    <n v="0.2"/>
  </r>
  <r>
    <x v="11"/>
    <n v="7700"/>
    <n v="7500"/>
    <n v="3700"/>
    <n v="4600"/>
    <n v="23500"/>
    <n v="4700"/>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764291-A759-4BD7-9984-F1FDDBD4B75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E16" firstHeaderRow="0" firstDataRow="1" firstDataCol="1"/>
  <pivotFields count="8">
    <pivotField axis="axisRow" showAll="0">
      <items count="13">
        <item x="0"/>
        <item x="1"/>
        <item x="2"/>
        <item x="3"/>
        <item x="4"/>
        <item x="5"/>
        <item x="6"/>
        <item x="7"/>
        <item x="8"/>
        <item x="9"/>
        <item x="10"/>
        <item x="11"/>
        <item t="default"/>
      </items>
    </pivotField>
    <pivotField dataField="1" showAll="0"/>
    <pivotField dataField="1" showAll="0"/>
    <pivotField dataField="1" showAll="0"/>
    <pivotField dataField="1" showAll="0"/>
    <pivotField showAll="0"/>
    <pivotField showAll="0"/>
    <pivotField numFmtId="9" showAll="0"/>
  </pivotFields>
  <rowFields count="1">
    <field x="0"/>
  </rowFields>
  <rowItems count="13">
    <i>
      <x/>
    </i>
    <i>
      <x v="1"/>
    </i>
    <i>
      <x v="2"/>
    </i>
    <i>
      <x v="3"/>
    </i>
    <i>
      <x v="4"/>
    </i>
    <i>
      <x v="5"/>
    </i>
    <i>
      <x v="6"/>
    </i>
    <i>
      <x v="7"/>
    </i>
    <i>
      <x v="8"/>
    </i>
    <i>
      <x v="9"/>
    </i>
    <i>
      <x v="10"/>
    </i>
    <i>
      <x v="11"/>
    </i>
    <i t="grand">
      <x/>
    </i>
  </rowItems>
  <colFields count="1">
    <field x="-2"/>
  </colFields>
  <colItems count="4">
    <i>
      <x/>
    </i>
    <i i="1">
      <x v="1"/>
    </i>
    <i i="2">
      <x v="2"/>
    </i>
    <i i="3">
      <x v="3"/>
    </i>
  </colItems>
  <dataFields count="4">
    <dataField name="Sum of Product A Sales" fld="1" baseField="0" baseItem="0"/>
    <dataField name="Sum of Product B Sales" fld="2" baseField="0" baseItem="0"/>
    <dataField name="Sum of Product C Sales" fld="3" baseField="0" baseItem="0"/>
    <dataField name="Sum of Product D Sales" fld="4" baseField="0" baseItem="0"/>
  </dataFields>
  <formats count="9">
    <format dxfId="8">
      <pivotArea field="0" type="button" dataOnly="0" labelOnly="1" outline="0" axis="axisRow" fieldPosition="0"/>
    </format>
    <format dxfId="7">
      <pivotArea dataOnly="0" labelOnly="1" outline="0" fieldPosition="0">
        <references count="1">
          <reference field="4294967294" count="4">
            <x v="0"/>
            <x v="1"/>
            <x v="2"/>
            <x v="3"/>
          </reference>
        </references>
      </pivotArea>
    </format>
    <format dxfId="6">
      <pivotArea dataOnly="0" fieldPosition="0">
        <references count="1">
          <reference field="0" count="0"/>
        </references>
      </pivotArea>
    </format>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4">
            <x v="0"/>
            <x v="1"/>
            <x v="2"/>
            <x v="3"/>
          </reference>
        </references>
      </pivotArea>
    </format>
  </formats>
  <chartFormats count="24">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series="1">
      <pivotArea type="data" outline="0" fieldPosition="0">
        <references count="1">
          <reference field="4294967294" count="1" selected="0">
            <x v="2"/>
          </reference>
        </references>
      </pivotArea>
    </chartFormat>
    <chartFormat chart="6" format="6" series="1">
      <pivotArea type="data" outline="0" fieldPosition="0">
        <references count="1">
          <reference field="4294967294" count="1" selected="0">
            <x v="3"/>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9" format="3" series="1">
      <pivotArea type="data" outline="0" fieldPosition="0">
        <references count="1">
          <reference field="4294967294"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2"/>
          </reference>
        </references>
      </pivotArea>
    </chartFormat>
    <chartFormat chart="12" format="3" series="1">
      <pivotArea type="data" outline="0" fieldPosition="0">
        <references count="1">
          <reference field="4294967294" count="1" selected="0">
            <x v="3"/>
          </reference>
        </references>
      </pivotArea>
    </chartFormat>
    <chartFormat chart="15" format="8"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1"/>
          </reference>
        </references>
      </pivotArea>
    </chartFormat>
    <chartFormat chart="15" format="10" series="1">
      <pivotArea type="data" outline="0" fieldPosition="0">
        <references count="1">
          <reference field="4294967294" count="1" selected="0">
            <x v="2"/>
          </reference>
        </references>
      </pivotArea>
    </chartFormat>
    <chartFormat chart="15" format="11" series="1">
      <pivotArea type="data" outline="0" fieldPosition="0">
        <references count="1">
          <reference field="4294967294" count="1" selected="0">
            <x v="3"/>
          </reference>
        </references>
      </pivotArea>
    </chartFormat>
    <chartFormat chart="26" format="0" series="1">
      <pivotArea type="data" outline="0" fieldPosition="0">
        <references count="1">
          <reference field="4294967294" count="1" selected="0">
            <x v="0"/>
          </reference>
        </references>
      </pivotArea>
    </chartFormat>
    <chartFormat chart="26" format="1" series="1">
      <pivotArea type="data" outline="0" fieldPosition="0">
        <references count="1">
          <reference field="4294967294" count="1" selected="0">
            <x v="1"/>
          </reference>
        </references>
      </pivotArea>
    </chartFormat>
    <chartFormat chart="26" format="2" series="1">
      <pivotArea type="data" outline="0" fieldPosition="0">
        <references count="1">
          <reference field="4294967294" count="1" selected="0">
            <x v="2"/>
          </reference>
        </references>
      </pivotArea>
    </chartFormat>
    <chartFormat chart="26" format="3" series="1">
      <pivotArea type="data" outline="0" fieldPosition="0">
        <references count="1">
          <reference field="4294967294" count="1" selected="0">
            <x v="3"/>
          </reference>
        </references>
      </pivotArea>
    </chartFormat>
    <chartFormat chart="27"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1"/>
          </reference>
        </references>
      </pivotArea>
    </chartFormat>
    <chartFormat chart="27" format="6" series="1">
      <pivotArea type="data" outline="0" fieldPosition="0">
        <references count="1">
          <reference field="4294967294" count="1" selected="0">
            <x v="2"/>
          </reference>
        </references>
      </pivotArea>
    </chartFormat>
    <chartFormat chart="27" format="7"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C2BC1448-9193-4046-87DC-25C0E2BD925D}" sourceName="Month">
  <pivotTables>
    <pivotTable tabId="4" name="PivotTable2"/>
  </pivotTables>
  <data>
    <tabular pivotCacheId="35399564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48858CD2-5DA0-46C9-87CC-8B105FAB4135}" cache="Slicer_Month" caption="Month"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A49BC-2D9B-43B4-94F8-FBCC3B0114A1}">
  <dimension ref="A3:E16"/>
  <sheetViews>
    <sheetView workbookViewId="0">
      <selection activeCell="Q7" sqref="Q7"/>
    </sheetView>
  </sheetViews>
  <sheetFormatPr defaultRowHeight="14.5" x14ac:dyDescent="0.35"/>
  <cols>
    <col min="1" max="1" width="12.453125" bestFit="1" customWidth="1"/>
    <col min="2" max="3" width="20.08984375" bestFit="1" customWidth="1"/>
    <col min="4" max="5" width="20.26953125" bestFit="1" customWidth="1"/>
    <col min="6" max="6" width="18.6328125" bestFit="1" customWidth="1"/>
    <col min="7" max="8" width="20.26953125" bestFit="1" customWidth="1"/>
  </cols>
  <sheetData>
    <row r="3" spans="1:5" x14ac:dyDescent="0.35">
      <c r="A3" s="4" t="s">
        <v>21</v>
      </c>
      <c r="B3" s="4" t="s">
        <v>23</v>
      </c>
      <c r="C3" s="4" t="s">
        <v>24</v>
      </c>
      <c r="D3" s="4" t="s">
        <v>25</v>
      </c>
      <c r="E3" s="4" t="s">
        <v>26</v>
      </c>
    </row>
    <row r="4" spans="1:5" x14ac:dyDescent="0.35">
      <c r="A4" s="5" t="s">
        <v>6</v>
      </c>
      <c r="B4" s="6">
        <v>5000</v>
      </c>
      <c r="C4" s="6">
        <v>7000</v>
      </c>
      <c r="D4" s="6">
        <v>3000</v>
      </c>
      <c r="E4" s="6">
        <v>4000</v>
      </c>
    </row>
    <row r="5" spans="1:5" x14ac:dyDescent="0.35">
      <c r="A5" s="5" t="s">
        <v>7</v>
      </c>
      <c r="B5" s="6">
        <v>6000</v>
      </c>
      <c r="C5" s="6">
        <v>6500</v>
      </c>
      <c r="D5" s="6">
        <v>3500</v>
      </c>
      <c r="E5" s="6">
        <v>4500</v>
      </c>
    </row>
    <row r="6" spans="1:5" x14ac:dyDescent="0.35">
      <c r="A6" s="5" t="s">
        <v>8</v>
      </c>
      <c r="B6" s="6">
        <v>5500</v>
      </c>
      <c r="C6" s="6">
        <v>7200</v>
      </c>
      <c r="D6" s="6">
        <v>3200</v>
      </c>
      <c r="E6" s="6">
        <v>4700</v>
      </c>
    </row>
    <row r="7" spans="1:5" x14ac:dyDescent="0.35">
      <c r="A7" s="5" t="s">
        <v>9</v>
      </c>
      <c r="B7" s="6">
        <v>5800</v>
      </c>
      <c r="C7" s="6">
        <v>6800</v>
      </c>
      <c r="D7" s="6">
        <v>3100</v>
      </c>
      <c r="E7" s="6">
        <v>4600</v>
      </c>
    </row>
    <row r="8" spans="1:5" x14ac:dyDescent="0.35">
      <c r="A8" s="5" t="s">
        <v>10</v>
      </c>
      <c r="B8" s="6">
        <v>6200</v>
      </c>
      <c r="C8" s="6">
        <v>7300</v>
      </c>
      <c r="D8" s="6">
        <v>3600</v>
      </c>
      <c r="E8" s="6">
        <v>4800</v>
      </c>
    </row>
    <row r="9" spans="1:5" x14ac:dyDescent="0.35">
      <c r="A9" s="5" t="s">
        <v>11</v>
      </c>
      <c r="B9" s="6">
        <v>6500</v>
      </c>
      <c r="C9" s="6">
        <v>7000</v>
      </c>
      <c r="D9" s="6">
        <v>3400</v>
      </c>
      <c r="E9" s="6">
        <v>5000</v>
      </c>
    </row>
    <row r="10" spans="1:5" x14ac:dyDescent="0.35">
      <c r="A10" s="5" t="s">
        <v>12</v>
      </c>
      <c r="B10" s="6">
        <v>4900</v>
      </c>
      <c r="C10" s="6">
        <v>8200</v>
      </c>
      <c r="D10" s="6">
        <v>3500</v>
      </c>
      <c r="E10" s="6">
        <v>4200</v>
      </c>
    </row>
    <row r="11" spans="1:5" x14ac:dyDescent="0.35">
      <c r="A11" s="5" t="s">
        <v>13</v>
      </c>
      <c r="B11" s="6">
        <v>7000</v>
      </c>
      <c r="C11" s="6">
        <v>6400</v>
      </c>
      <c r="D11" s="6">
        <v>3300</v>
      </c>
      <c r="E11" s="6">
        <v>4400</v>
      </c>
    </row>
    <row r="12" spans="1:5" x14ac:dyDescent="0.35">
      <c r="A12" s="5" t="s">
        <v>14</v>
      </c>
      <c r="B12" s="6">
        <v>6700</v>
      </c>
      <c r="C12" s="6">
        <v>8500</v>
      </c>
      <c r="D12" s="6">
        <v>3700</v>
      </c>
      <c r="E12" s="6">
        <v>4100</v>
      </c>
    </row>
    <row r="13" spans="1:5" x14ac:dyDescent="0.35">
      <c r="A13" s="5" t="s">
        <v>15</v>
      </c>
      <c r="B13" s="6">
        <v>5300</v>
      </c>
      <c r="C13" s="6">
        <v>9200</v>
      </c>
      <c r="D13" s="6">
        <v>3500</v>
      </c>
      <c r="E13" s="6">
        <v>4300</v>
      </c>
    </row>
    <row r="14" spans="1:5" x14ac:dyDescent="0.35">
      <c r="A14" s="5" t="s">
        <v>16</v>
      </c>
      <c r="B14" s="6">
        <v>8000</v>
      </c>
      <c r="C14" s="6">
        <v>8800</v>
      </c>
      <c r="D14" s="6">
        <v>3800</v>
      </c>
      <c r="E14" s="6">
        <v>4900</v>
      </c>
    </row>
    <row r="15" spans="1:5" x14ac:dyDescent="0.35">
      <c r="A15" s="5" t="s">
        <v>17</v>
      </c>
      <c r="B15" s="6">
        <v>7700</v>
      </c>
      <c r="C15" s="6">
        <v>7500</v>
      </c>
      <c r="D15" s="6">
        <v>3700</v>
      </c>
      <c r="E15" s="6">
        <v>4600</v>
      </c>
    </row>
    <row r="16" spans="1:5" x14ac:dyDescent="0.35">
      <c r="A16" s="7" t="s">
        <v>22</v>
      </c>
      <c r="B16" s="8">
        <v>74600</v>
      </c>
      <c r="C16" s="8">
        <v>90400</v>
      </c>
      <c r="D16" s="8">
        <v>41300</v>
      </c>
      <c r="E16" s="8">
        <v>54100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499BE-EA34-4E6F-BFF2-081945DD30BD}">
  <dimension ref="A1:H14"/>
  <sheetViews>
    <sheetView tabSelected="1" workbookViewId="0">
      <selection activeCell="L6" sqref="L6"/>
    </sheetView>
  </sheetViews>
  <sheetFormatPr defaultRowHeight="14.5" x14ac:dyDescent="0.35"/>
  <cols>
    <col min="1" max="1" width="9" customWidth="1"/>
    <col min="2" max="2" width="16.36328125" customWidth="1"/>
    <col min="3" max="3" width="14.7265625" customWidth="1"/>
    <col min="4" max="4" width="16.7265625" customWidth="1"/>
    <col min="5" max="5" width="16" customWidth="1"/>
    <col min="6" max="6" width="12.54296875" customWidth="1"/>
    <col min="7" max="7" width="13.81640625" customWidth="1"/>
    <col min="8" max="8" width="11.81640625" style="1" bestFit="1" customWidth="1"/>
  </cols>
  <sheetData>
    <row r="1" spans="1:8" ht="59.5" customHeight="1" x14ac:dyDescent="0.35">
      <c r="A1" s="9" t="s">
        <v>18</v>
      </c>
      <c r="B1" s="10"/>
      <c r="C1" s="10"/>
      <c r="D1" s="10"/>
      <c r="E1" s="10"/>
      <c r="F1" s="10"/>
      <c r="G1" s="10"/>
      <c r="H1" s="10"/>
    </row>
    <row r="2" spans="1:8" ht="16" x14ac:dyDescent="0.4">
      <c r="A2" s="2" t="s">
        <v>0</v>
      </c>
      <c r="B2" s="2" t="s">
        <v>1</v>
      </c>
      <c r="C2" s="2" t="s">
        <v>2</v>
      </c>
      <c r="D2" s="2" t="s">
        <v>3</v>
      </c>
      <c r="E2" s="2" t="s">
        <v>4</v>
      </c>
      <c r="F2" s="2" t="s">
        <v>5</v>
      </c>
      <c r="G2" s="2" t="s">
        <v>19</v>
      </c>
      <c r="H2" s="3" t="s">
        <v>20</v>
      </c>
    </row>
    <row r="3" spans="1:8" ht="16" x14ac:dyDescent="0.4">
      <c r="A3" s="2" t="s">
        <v>6</v>
      </c>
      <c r="B3" s="2">
        <v>5000</v>
      </c>
      <c r="C3" s="2">
        <v>7000</v>
      </c>
      <c r="D3" s="2">
        <v>3000</v>
      </c>
      <c r="E3" s="2">
        <v>4000</v>
      </c>
      <c r="F3" s="2">
        <f>SUM(B3:E3)</f>
        <v>19000</v>
      </c>
      <c r="G3" s="2">
        <f>F3*20%</f>
        <v>3800</v>
      </c>
      <c r="H3" s="3">
        <f>G3/F3</f>
        <v>0.2</v>
      </c>
    </row>
    <row r="4" spans="1:8" ht="16" x14ac:dyDescent="0.4">
      <c r="A4" s="2" t="s">
        <v>7</v>
      </c>
      <c r="B4" s="2">
        <v>6000</v>
      </c>
      <c r="C4" s="2">
        <v>6500</v>
      </c>
      <c r="D4" s="2">
        <v>3500</v>
      </c>
      <c r="E4" s="2">
        <v>4500</v>
      </c>
      <c r="F4" s="2">
        <f t="shared" ref="F4:F14" si="0">SUM(B4:E4)</f>
        <v>20500</v>
      </c>
      <c r="G4" s="2">
        <f t="shared" ref="G4:G14" si="1">F4*20%</f>
        <v>4100</v>
      </c>
      <c r="H4" s="3">
        <f t="shared" ref="H4:H14" si="2">G4/F4</f>
        <v>0.2</v>
      </c>
    </row>
    <row r="5" spans="1:8" ht="16" x14ac:dyDescent="0.4">
      <c r="A5" s="2" t="s">
        <v>8</v>
      </c>
      <c r="B5" s="2">
        <v>5500</v>
      </c>
      <c r="C5" s="2">
        <v>7200</v>
      </c>
      <c r="D5" s="2">
        <v>3200</v>
      </c>
      <c r="E5" s="2">
        <v>4700</v>
      </c>
      <c r="F5" s="2">
        <f t="shared" si="0"/>
        <v>20600</v>
      </c>
      <c r="G5" s="2">
        <f t="shared" si="1"/>
        <v>4120</v>
      </c>
      <c r="H5" s="3">
        <f t="shared" si="2"/>
        <v>0.2</v>
      </c>
    </row>
    <row r="6" spans="1:8" ht="16" x14ac:dyDescent="0.4">
      <c r="A6" s="2" t="s">
        <v>9</v>
      </c>
      <c r="B6" s="2">
        <v>5800</v>
      </c>
      <c r="C6" s="2">
        <v>6800</v>
      </c>
      <c r="D6" s="2">
        <v>3100</v>
      </c>
      <c r="E6" s="2">
        <v>4600</v>
      </c>
      <c r="F6" s="2">
        <f t="shared" si="0"/>
        <v>20300</v>
      </c>
      <c r="G6" s="2">
        <f t="shared" si="1"/>
        <v>4060</v>
      </c>
      <c r="H6" s="3">
        <f t="shared" si="2"/>
        <v>0.2</v>
      </c>
    </row>
    <row r="7" spans="1:8" ht="16" x14ac:dyDescent="0.4">
      <c r="A7" s="2" t="s">
        <v>10</v>
      </c>
      <c r="B7" s="2">
        <v>6200</v>
      </c>
      <c r="C7" s="2">
        <v>7300</v>
      </c>
      <c r="D7" s="2">
        <v>3600</v>
      </c>
      <c r="E7" s="2">
        <v>4800</v>
      </c>
      <c r="F7" s="2">
        <f t="shared" si="0"/>
        <v>21900</v>
      </c>
      <c r="G7" s="2">
        <f t="shared" si="1"/>
        <v>4380</v>
      </c>
      <c r="H7" s="3">
        <f t="shared" si="2"/>
        <v>0.2</v>
      </c>
    </row>
    <row r="8" spans="1:8" ht="16" x14ac:dyDescent="0.4">
      <c r="A8" s="2" t="s">
        <v>11</v>
      </c>
      <c r="B8" s="2">
        <v>6500</v>
      </c>
      <c r="C8" s="2">
        <v>7000</v>
      </c>
      <c r="D8" s="2">
        <v>3400</v>
      </c>
      <c r="E8" s="2">
        <v>5000</v>
      </c>
      <c r="F8" s="2">
        <f t="shared" si="0"/>
        <v>21900</v>
      </c>
      <c r="G8" s="2">
        <f t="shared" si="1"/>
        <v>4380</v>
      </c>
      <c r="H8" s="3">
        <f t="shared" si="2"/>
        <v>0.2</v>
      </c>
    </row>
    <row r="9" spans="1:8" ht="16" x14ac:dyDescent="0.4">
      <c r="A9" s="2" t="s">
        <v>12</v>
      </c>
      <c r="B9" s="2">
        <v>4900</v>
      </c>
      <c r="C9" s="2">
        <v>8200</v>
      </c>
      <c r="D9" s="2">
        <v>3500</v>
      </c>
      <c r="E9" s="2">
        <v>4200</v>
      </c>
      <c r="F9" s="2">
        <f t="shared" si="0"/>
        <v>20800</v>
      </c>
      <c r="G9" s="2">
        <f t="shared" si="1"/>
        <v>4160</v>
      </c>
      <c r="H9" s="3">
        <f t="shared" si="2"/>
        <v>0.2</v>
      </c>
    </row>
    <row r="10" spans="1:8" ht="16" x14ac:dyDescent="0.4">
      <c r="A10" s="2" t="s">
        <v>13</v>
      </c>
      <c r="B10" s="2">
        <v>7000</v>
      </c>
      <c r="C10" s="2">
        <v>6400</v>
      </c>
      <c r="D10" s="2">
        <v>3300</v>
      </c>
      <c r="E10" s="2">
        <v>4400</v>
      </c>
      <c r="F10" s="2">
        <f t="shared" si="0"/>
        <v>21100</v>
      </c>
      <c r="G10" s="2">
        <f t="shared" si="1"/>
        <v>4220</v>
      </c>
      <c r="H10" s="3">
        <f t="shared" si="2"/>
        <v>0.2</v>
      </c>
    </row>
    <row r="11" spans="1:8" ht="16" x14ac:dyDescent="0.4">
      <c r="A11" s="2" t="s">
        <v>14</v>
      </c>
      <c r="B11" s="2">
        <v>6700</v>
      </c>
      <c r="C11" s="2">
        <v>8500</v>
      </c>
      <c r="D11" s="2">
        <v>3700</v>
      </c>
      <c r="E11" s="2">
        <v>4100</v>
      </c>
      <c r="F11" s="2">
        <f t="shared" si="0"/>
        <v>23000</v>
      </c>
      <c r="G11" s="2">
        <f t="shared" si="1"/>
        <v>4600</v>
      </c>
      <c r="H11" s="3">
        <f t="shared" si="2"/>
        <v>0.2</v>
      </c>
    </row>
    <row r="12" spans="1:8" ht="16" x14ac:dyDescent="0.4">
      <c r="A12" s="2" t="s">
        <v>15</v>
      </c>
      <c r="B12" s="2">
        <v>5300</v>
      </c>
      <c r="C12" s="2">
        <v>9200</v>
      </c>
      <c r="D12" s="2">
        <v>3500</v>
      </c>
      <c r="E12" s="2">
        <v>4300</v>
      </c>
      <c r="F12" s="2">
        <f t="shared" si="0"/>
        <v>22300</v>
      </c>
      <c r="G12" s="2">
        <f t="shared" si="1"/>
        <v>4460</v>
      </c>
      <c r="H12" s="3">
        <f t="shared" si="2"/>
        <v>0.2</v>
      </c>
    </row>
    <row r="13" spans="1:8" ht="16" x14ac:dyDescent="0.4">
      <c r="A13" s="2" t="s">
        <v>16</v>
      </c>
      <c r="B13" s="2">
        <v>8000</v>
      </c>
      <c r="C13" s="2">
        <v>8800</v>
      </c>
      <c r="D13" s="2">
        <v>3800</v>
      </c>
      <c r="E13" s="2">
        <v>4900</v>
      </c>
      <c r="F13" s="2">
        <f t="shared" si="0"/>
        <v>25500</v>
      </c>
      <c r="G13" s="2">
        <f t="shared" si="1"/>
        <v>5100</v>
      </c>
      <c r="H13" s="3">
        <f t="shared" si="2"/>
        <v>0.2</v>
      </c>
    </row>
    <row r="14" spans="1:8" ht="16" x14ac:dyDescent="0.4">
      <c r="A14" s="2" t="s">
        <v>17</v>
      </c>
      <c r="B14" s="2">
        <v>7700</v>
      </c>
      <c r="C14" s="2">
        <v>7500</v>
      </c>
      <c r="D14" s="2">
        <v>3700</v>
      </c>
      <c r="E14" s="2">
        <v>4600</v>
      </c>
      <c r="F14" s="2">
        <f t="shared" si="0"/>
        <v>23500</v>
      </c>
      <c r="G14" s="2">
        <f t="shared" si="1"/>
        <v>4700</v>
      </c>
      <c r="H14" s="3">
        <f t="shared" si="2"/>
        <v>0.2</v>
      </c>
    </row>
  </sheetData>
  <mergeCells count="1">
    <mergeCell ref="A1:H1"/>
  </mergeCells>
  <phoneticPr fontId="1" type="noConversion"/>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FAE5E-E2F9-418C-BD36-56B84F6BB542}">
  <dimension ref="A1"/>
  <sheetViews>
    <sheetView zoomScale="94" zoomScaleNormal="94" workbookViewId="0">
      <selection activeCell="R4" sqref="R4"/>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Sheet4</vt:lpstr>
      <vt:lpstr>Dashboard</vt:lpstr>
      <vt:lpstr>Sheet5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CSH</dc:creator>
  <cp:lastModifiedBy>CSH</cp:lastModifiedBy>
  <dcterms:created xsi:type="dcterms:W3CDTF">2026-03-02T09:00:41Z</dcterms:created>
  <dcterms:modified xsi:type="dcterms:W3CDTF">2026-08-11T10:08:09Z</dcterms:modified>
</cp:coreProperties>
</file>